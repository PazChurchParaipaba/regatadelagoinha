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Planilha1" sheetId="1" r:id="rId1"/>
    <sheet name="Planilha2" sheetId="2" r:id="rId2"/>
    <sheet name="Planilh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<sst xmlns="http://schemas.openxmlformats.org/spreadsheetml/2006/main" count="132" uniqueCount="85">
  <si>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VANÚZIO</t>
  </si>
  <si>
    <t>MARIA</t>
  </si>
  <si>
    <t>GILSON</t>
  </si>
  <si>
    <t>RIVELINO - PAGO</t>
  </si>
  <si>
    <t>UND</t>
  </si>
  <si>
    <t>PRODUTO/SERVIÇO</t>
  </si>
  <si>
    <t>VALOR</t>
  </si>
  <si>
    <t>TOTAL</t>
  </si>
  <si>
    <t>FARDO DE ÁGUA SEM GÁS</t>
  </si>
  <si>
    <t>ALMOÇO</t>
  </si>
  <si>
    <t>TRIO</t>
  </si>
  <si>
    <t>FARDOS DE ÁGUA</t>
  </si>
  <si>
    <t>120 PA</t>
  </si>
  <si>
    <t>FILÉ DE PEIXE AO MOLHO</t>
  </si>
  <si>
    <t>120 PB</t>
  </si>
  <si>
    <t>COCA 2L</t>
  </si>
  <si>
    <t>SCHWEPPES</t>
  </si>
  <si>
    <t>BOLINHA DE PEIXE</t>
  </si>
  <si>
    <t>COCA LATA</t>
  </si>
  <si>
    <t>PEIXE A DELÍCIA</t>
  </si>
  <si>
    <t>CARNE DO SOL</t>
  </si>
  <si>
    <t>PILHA GRANDE</t>
  </si>
  <si>
    <t>BOLINHAS</t>
  </si>
  <si>
    <t>MONSTER</t>
  </si>
  <si>
    <t>SUCOS</t>
  </si>
  <si>
    <t>COCA COM GÁS</t>
  </si>
  <si>
    <t>RED BULL</t>
  </si>
  <si>
    <t>OLD PARR</t>
  </si>
  <si>
    <t>GELO</t>
  </si>
  <si>
    <t>COPOS 400ml</t>
  </si>
  <si>
    <t>COPOS 200ml</t>
  </si>
  <si>
    <t>NIGHT POWER</t>
  </si>
  <si>
    <t>COCA COLA 2L</t>
  </si>
  <si>
    <t>COCA COLA 1L</t>
  </si>
  <si>
    <t>ÁGUA SEM GÁS</t>
  </si>
  <si>
    <t>ACRES. FRANGO</t>
  </si>
  <si>
    <t>ACRES. BACON</t>
  </si>
  <si>
    <t>CAMPARY</t>
  </si>
  <si>
    <t>SERVIÇOS</t>
  </si>
  <si>
    <t>LAGERO</t>
  </si>
  <si>
    <t>ZÉ BARROSO</t>
  </si>
  <si>
    <t>JORGE</t>
  </si>
  <si>
    <t>PINTURA DOS BARCOS (RAFAEL)</t>
  </si>
  <si>
    <t>REFRIGERANTE 1L</t>
  </si>
  <si>
    <t>VELAS</t>
  </si>
  <si>
    <t>ÁGUA</t>
  </si>
  <si>
    <t>AJUDANTES (LUCIANO)</t>
  </si>
  <si>
    <t>CORTADOR DE VELAS</t>
  </si>
  <si>
    <t>PCT. PAPEL HIGIÊNICO + SACOS DE LIXO</t>
  </si>
  <si>
    <t>GUARDA VIDAS</t>
  </si>
  <si>
    <t>LINHAS</t>
  </si>
  <si>
    <t>CONEXÕES, CANOS E CHUVEIROS</t>
  </si>
  <si>
    <t>MOTORISTA</t>
  </si>
  <si>
    <t>MARMITA</t>
  </si>
  <si>
    <t>GELO (ESCAMA)</t>
  </si>
  <si>
    <t>PINCEL E ROLO</t>
  </si>
  <si>
    <t>RAFRIGERANTE</t>
  </si>
  <si>
    <t>GELO (CUBO)</t>
  </si>
  <si>
    <t>MATERIAL PARA LIMPEZA</t>
  </si>
  <si>
    <t>COSTUREIRAS</t>
  </si>
  <si>
    <t>RODO</t>
  </si>
  <si>
    <t>MATERIAL DE OBRA</t>
  </si>
  <si>
    <t>ÁGUA MINERAL</t>
  </si>
  <si>
    <t>LÂMPADA E SOQUETE</t>
  </si>
  <si>
    <t>JARRA DE SUCO</t>
  </si>
  <si>
    <t>BOLO E CAJUÍNA</t>
  </si>
  <si>
    <t>PAELLA A LAGERO</t>
  </si>
  <si>
    <t>CORDA (RAFAEL)</t>
  </si>
  <si>
    <t>SURPRESA LAGERO</t>
  </si>
  <si>
    <t>MERENDA</t>
  </si>
  <si>
    <t>PLUGS E FITAS</t>
  </si>
  <si>
    <t>SOQUETES E FRUTAS (RHUAN)</t>
  </si>
  <si>
    <t>GUARANÁ</t>
  </si>
  <si>
    <t>EVERTON</t>
  </si>
  <si>
    <t>LANCHE</t>
  </si>
  <si>
    <t>PILHAS</t>
  </si>
  <si>
    <t>TESOURA</t>
  </si>
  <si>
    <t>ABRAÇADEIRA</t>
  </si>
  <si>
    <t>IORGUT E BISCOITO</t>
  </si>
  <si>
    <t>SACOS (LUCIANO)</t>
  </si>
  <si>
    <t>ENERGÉTICO</t>
  </si>
  <si>
    <t>MERENDA (ANTÔNIO)</t>
  </si>
  <si>
    <t>ÁGUA (RHUAN)</t>
  </si>
  <si>
    <t>PLATÔ</t>
  </si>
  <si>
    <t>SUÍTES 400 X 2 DIÁRIAS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</si>
</sst>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2">
      <alignment vertical="center"/>
    </xf>
    <xf numFmtId="0" fontId="2" fillId="2" borderId="0" xfId="0" applyFont="1" applyFill="1">
      <alignment vertical="center"/>
    </xf>
    <xf numFmtId="177" fontId="2" fillId="2" borderId="0" xfId="2" applyFont="1" applyFill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left" vertical="center"/>
    </xf>
    <xf numFmtId="177" fontId="2" fillId="2" borderId="0" xfId="2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1" fillId="3" borderId="0" xfId="2" applyFont="1" applyFill="1" applyAlignment="1">
      <alignment horizontal="left" vertical="center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0" fillId="3" borderId="0" xfId="0" applyFill="1" applyAlignment="1">
      <alignment horizontal="left" vertical="center"/>
    </xf>
    <xf numFmtId="177" fontId="0" fillId="3" borderId="0" xfId="2" applyFill="1">
      <alignment vertical="center"/>
    </xf>
    <xf numFmtId="177" fontId="2" fillId="3" borderId="0" xfId="2" applyFont="1" applyFill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workbookViewId="0">
      <selection activeCell="A1" sqref="A1:D28"/>
    </sheetView>
  </sheetViews>
  <sheetFormatPr defaultColWidth="9.14285714285714" defaultRowHeight="12.75"/>
  <cols>
    <col min="1" max="1" width="10.2857142857143" style="6" customWidth="1"/>
    <col min="2" max="2" width="22.5714285714286" style="7" customWidth="1"/>
    <col min="3" max="3" width="10.2857142857143"/>
    <col min="4" max="4" width="11.8571428571429"/>
    <col min="7" max="7" width="22.5714285714286" customWidth="1"/>
    <col min="8" max="9" width="10.2857142857143"/>
    <col min="11" max="11" width="10.2857142857143" customWidth="1"/>
    <col min="12" max="12" width="22.5714285714286" customWidth="1"/>
    <col min="13" max="13" width="10.2857142857143" customWidth="1"/>
    <col min="14" max="14" width="10.2857142857143"/>
    <col min="16" max="16" width="18.7142857142857" customWidth="1"/>
    <col min="17" max="17" width="17.5714285714286" customWidth="1"/>
    <col min="18" max="18" width="9.28571428571429"/>
    <col min="19" max="19" width="11.8571428571429"/>
  </cols>
  <sheetData>
    <row r="1" ht="15.75" spans="1:19">
      <c r="A1" s="1" t="s">
        <v>0</v>
      </c>
      <c r="B1" s="2"/>
      <c r="F1" s="1" t="s">
        <v>1</v>
      </c>
      <c r="G1" s="2"/>
      <c r="K1" s="1" t="s">
        <v>2</v>
      </c>
      <c r="L1" s="2"/>
      <c r="P1" s="14" t="s">
        <v>3</v>
      </c>
      <c r="Q1" s="17"/>
      <c r="R1" s="18"/>
      <c r="S1" s="18"/>
    </row>
    <row r="2" spans="1:19">
      <c r="A2" s="3" t="s">
        <v>4</v>
      </c>
      <c r="B2" s="4" t="s">
        <v>5</v>
      </c>
      <c r="C2" s="5" t="s">
        <v>6</v>
      </c>
      <c r="D2" s="5" t="s">
        <v>7</v>
      </c>
      <c r="F2" s="3" t="s">
        <v>4</v>
      </c>
      <c r="G2" s="4" t="s">
        <v>5</v>
      </c>
      <c r="H2" s="5" t="s">
        <v>6</v>
      </c>
      <c r="I2" s="5" t="s">
        <v>7</v>
      </c>
      <c r="K2" s="3" t="s">
        <v>4</v>
      </c>
      <c r="L2" s="4" t="s">
        <v>5</v>
      </c>
      <c r="M2" s="5" t="s">
        <v>6</v>
      </c>
      <c r="N2" s="5" t="s">
        <v>7</v>
      </c>
      <c r="P2" s="15" t="s">
        <v>4</v>
      </c>
      <c r="Q2" s="19" t="s">
        <v>5</v>
      </c>
      <c r="R2" s="20" t="s">
        <v>6</v>
      </c>
      <c r="S2" s="20" t="s">
        <v>7</v>
      </c>
    </row>
    <row r="3" spans="1:19">
      <c r="A3" s="6">
        <v>13</v>
      </c>
      <c r="B3" s="7" t="s">
        <v>8</v>
      </c>
      <c r="C3" s="8">
        <v>16</v>
      </c>
      <c r="D3" s="8">
        <f t="shared" ref="D3:D6" si="0">PRODUCT(A3,C3)</f>
        <v>208</v>
      </c>
      <c r="F3" s="6"/>
      <c r="G3" s="7" t="s">
        <v>9</v>
      </c>
      <c r="H3" s="8">
        <v>720</v>
      </c>
      <c r="I3" s="10">
        <f>PRODUCT(F3,H3)</f>
        <v>720</v>
      </c>
      <c r="K3" s="6">
        <v>1</v>
      </c>
      <c r="L3" s="7" t="s">
        <v>10</v>
      </c>
      <c r="M3" s="8">
        <v>130</v>
      </c>
      <c r="N3" s="8">
        <f t="shared" ref="N3:N6" si="1">PRODUCT(K3,M3)</f>
        <v>130</v>
      </c>
      <c r="P3" s="16">
        <v>100</v>
      </c>
      <c r="Q3" s="21" t="s">
        <v>11</v>
      </c>
      <c r="R3" s="22">
        <v>16.7</v>
      </c>
      <c r="S3" s="23">
        <v>1670</v>
      </c>
    </row>
    <row r="4" spans="1:14">
      <c r="A4" s="6">
        <v>17</v>
      </c>
      <c r="B4" s="7" t="s">
        <v>12</v>
      </c>
      <c r="C4" s="8">
        <v>24</v>
      </c>
      <c r="D4" s="8">
        <f t="shared" si="0"/>
        <v>408</v>
      </c>
      <c r="K4" s="6">
        <v>1</v>
      </c>
      <c r="L4" s="7" t="s">
        <v>13</v>
      </c>
      <c r="M4" s="8">
        <v>90</v>
      </c>
      <c r="N4" s="8">
        <f t="shared" si="1"/>
        <v>90</v>
      </c>
    </row>
    <row r="5" spans="1:14">
      <c r="A5" s="6">
        <v>1</v>
      </c>
      <c r="B5" s="7" t="s">
        <v>14</v>
      </c>
      <c r="C5" s="8">
        <v>16</v>
      </c>
      <c r="D5" s="8">
        <f t="shared" si="0"/>
        <v>16</v>
      </c>
      <c r="K5" s="6">
        <v>1</v>
      </c>
      <c r="L5" s="7" t="s">
        <v>15</v>
      </c>
      <c r="M5" s="8">
        <v>12</v>
      </c>
      <c r="N5" s="8">
        <f t="shared" si="1"/>
        <v>12</v>
      </c>
    </row>
    <row r="6" spans="1:14">
      <c r="A6" s="6">
        <v>1</v>
      </c>
      <c r="B6" s="7" t="s">
        <v>16</v>
      </c>
      <c r="C6" s="8">
        <v>5</v>
      </c>
      <c r="D6" s="8">
        <f t="shared" si="0"/>
        <v>5</v>
      </c>
      <c r="K6" s="6">
        <v>1</v>
      </c>
      <c r="L6" s="7" t="s">
        <v>17</v>
      </c>
      <c r="M6" s="8">
        <v>18</v>
      </c>
      <c r="N6" s="8">
        <f t="shared" si="1"/>
        <v>18</v>
      </c>
    </row>
    <row r="7" spans="1:14">
      <c r="A7" s="6">
        <v>1</v>
      </c>
      <c r="B7" s="7">
        <v>114</v>
      </c>
      <c r="C7" s="8">
        <v>20</v>
      </c>
      <c r="D7" s="8">
        <v>20</v>
      </c>
      <c r="K7" s="6">
        <v>1</v>
      </c>
      <c r="L7" s="12">
        <v>0.1</v>
      </c>
      <c r="M7" s="8">
        <v>25</v>
      </c>
      <c r="N7" s="8">
        <v>25</v>
      </c>
    </row>
    <row r="8" spans="1:14">
      <c r="A8" s="6">
        <v>5</v>
      </c>
      <c r="B8" s="7" t="s">
        <v>18</v>
      </c>
      <c r="C8" s="8">
        <v>5</v>
      </c>
      <c r="D8" s="8">
        <f t="shared" ref="D8:D17" si="2">PRODUCT(A8,C8)</f>
        <v>25</v>
      </c>
      <c r="K8" s="6">
        <v>1</v>
      </c>
      <c r="L8" s="7" t="s">
        <v>19</v>
      </c>
      <c r="M8" s="8">
        <v>80</v>
      </c>
      <c r="N8" s="8">
        <f t="shared" ref="N8:N17" si="3">PRODUCT(K8,M8)</f>
        <v>80</v>
      </c>
    </row>
    <row r="9" spans="1:14">
      <c r="A9" s="6">
        <v>7</v>
      </c>
      <c r="B9" s="7">
        <v>152</v>
      </c>
      <c r="C9" s="8">
        <v>12</v>
      </c>
      <c r="D9" s="8">
        <f t="shared" si="2"/>
        <v>84</v>
      </c>
      <c r="K9" s="6">
        <v>1</v>
      </c>
      <c r="L9" s="7" t="s">
        <v>20</v>
      </c>
      <c r="M9" s="8">
        <v>85</v>
      </c>
      <c r="N9" s="8">
        <f t="shared" si="3"/>
        <v>85</v>
      </c>
    </row>
    <row r="10" spans="1:14">
      <c r="A10" s="6">
        <v>12</v>
      </c>
      <c r="B10" s="7" t="s">
        <v>21</v>
      </c>
      <c r="C10" s="8">
        <v>5.5</v>
      </c>
      <c r="D10" s="8">
        <f t="shared" si="2"/>
        <v>66</v>
      </c>
      <c r="K10" s="6">
        <v>2</v>
      </c>
      <c r="L10" s="7" t="s">
        <v>22</v>
      </c>
      <c r="M10" s="8">
        <v>18</v>
      </c>
      <c r="N10" s="8">
        <f t="shared" si="3"/>
        <v>36</v>
      </c>
    </row>
    <row r="11" spans="1:14">
      <c r="A11" s="6">
        <v>4</v>
      </c>
      <c r="B11" s="7" t="s">
        <v>23</v>
      </c>
      <c r="C11" s="8">
        <v>10</v>
      </c>
      <c r="D11" s="8">
        <f t="shared" si="2"/>
        <v>40</v>
      </c>
      <c r="K11" s="6">
        <v>1</v>
      </c>
      <c r="L11" s="7" t="s">
        <v>15</v>
      </c>
      <c r="M11" s="8">
        <v>12</v>
      </c>
      <c r="N11" s="8">
        <f t="shared" si="3"/>
        <v>12</v>
      </c>
    </row>
    <row r="12" spans="1:14">
      <c r="A12" s="6">
        <v>2</v>
      </c>
      <c r="B12" s="7" t="s">
        <v>24</v>
      </c>
      <c r="C12" s="8">
        <v>5</v>
      </c>
      <c r="D12" s="8">
        <f t="shared" si="2"/>
        <v>10</v>
      </c>
      <c r="K12" s="6">
        <v>1</v>
      </c>
      <c r="L12" s="7" t="s">
        <v>25</v>
      </c>
      <c r="M12" s="8">
        <v>3.5</v>
      </c>
      <c r="N12" s="8">
        <f t="shared" si="3"/>
        <v>3.5</v>
      </c>
    </row>
    <row r="13" spans="1:14">
      <c r="A13" s="6">
        <v>21</v>
      </c>
      <c r="B13" s="7" t="s">
        <v>26</v>
      </c>
      <c r="C13" s="8">
        <v>15</v>
      </c>
      <c r="D13" s="8">
        <f t="shared" si="2"/>
        <v>315</v>
      </c>
      <c r="K13" s="6">
        <v>1</v>
      </c>
      <c r="L13" s="12">
        <v>0.1</v>
      </c>
      <c r="M13" s="8">
        <v>21.6</v>
      </c>
      <c r="N13" s="8">
        <f t="shared" si="3"/>
        <v>21.6</v>
      </c>
    </row>
    <row r="14" spans="1:14">
      <c r="A14" s="6">
        <v>1</v>
      </c>
      <c r="B14" s="7" t="s">
        <v>27</v>
      </c>
      <c r="C14" s="8">
        <v>210</v>
      </c>
      <c r="D14" s="8">
        <f t="shared" si="2"/>
        <v>210</v>
      </c>
      <c r="K14" s="6"/>
      <c r="L14" s="7"/>
      <c r="M14" s="8">
        <v>90</v>
      </c>
      <c r="N14" s="8">
        <v>90</v>
      </c>
    </row>
    <row r="15" spans="1:14">
      <c r="A15" s="6">
        <v>6</v>
      </c>
      <c r="B15" s="7" t="s">
        <v>28</v>
      </c>
      <c r="C15" s="8">
        <v>10</v>
      </c>
      <c r="D15" s="8">
        <f t="shared" si="2"/>
        <v>60</v>
      </c>
      <c r="K15" s="6"/>
      <c r="L15" s="7"/>
      <c r="M15" s="8"/>
      <c r="N15" s="8"/>
    </row>
    <row r="16" spans="1:14">
      <c r="A16" s="6">
        <v>7</v>
      </c>
      <c r="B16" s="7" t="s">
        <v>29</v>
      </c>
      <c r="C16" s="8">
        <v>11.5</v>
      </c>
      <c r="D16" s="8">
        <f t="shared" si="2"/>
        <v>80.5</v>
      </c>
      <c r="K16" s="6"/>
      <c r="L16" s="7"/>
      <c r="M16" s="10" t="s">
        <v>7</v>
      </c>
      <c r="N16" s="10">
        <v>603.1</v>
      </c>
    </row>
    <row r="17" spans="1:14">
      <c r="A17" s="6">
        <v>3</v>
      </c>
      <c r="B17" s="7" t="s">
        <v>30</v>
      </c>
      <c r="C17" s="8">
        <v>22.5</v>
      </c>
      <c r="D17" s="8">
        <f t="shared" si="2"/>
        <v>67.5</v>
      </c>
      <c r="K17" s="6"/>
      <c r="L17" s="7"/>
      <c r="M17" s="8"/>
      <c r="N17" s="8"/>
    </row>
    <row r="18" spans="1:4">
      <c r="A18" s="6">
        <v>1</v>
      </c>
      <c r="B18" s="7" t="s">
        <v>31</v>
      </c>
      <c r="C18" s="8">
        <v>20</v>
      </c>
      <c r="D18" s="8">
        <v>20</v>
      </c>
    </row>
    <row r="19" spans="1:4">
      <c r="A19" s="6">
        <v>1</v>
      </c>
      <c r="B19" s="7" t="s">
        <v>32</v>
      </c>
      <c r="C19" s="8">
        <v>10</v>
      </c>
      <c r="D19" s="8">
        <v>10</v>
      </c>
    </row>
    <row r="20" spans="1:4">
      <c r="A20" s="6">
        <v>2</v>
      </c>
      <c r="B20" s="7">
        <v>170</v>
      </c>
      <c r="C20" s="8">
        <v>22</v>
      </c>
      <c r="D20" s="8">
        <f>PRODUCT(A20,C20)</f>
        <v>44</v>
      </c>
    </row>
    <row r="21" spans="1:4">
      <c r="A21" s="6">
        <v>1</v>
      </c>
      <c r="B21" s="7" t="s">
        <v>33</v>
      </c>
      <c r="C21" s="8">
        <v>8</v>
      </c>
      <c r="D21" s="8">
        <v>8</v>
      </c>
    </row>
    <row r="22" spans="1:4">
      <c r="A22" s="6">
        <v>2</v>
      </c>
      <c r="B22" s="7" t="s">
        <v>34</v>
      </c>
      <c r="C22" s="8">
        <v>2</v>
      </c>
      <c r="D22" s="8">
        <f>PRODUCT(A22,C22)</f>
        <v>4</v>
      </c>
    </row>
    <row r="23" spans="1:4">
      <c r="A23" s="6">
        <v>1</v>
      </c>
      <c r="B23" s="7" t="s">
        <v>35</v>
      </c>
      <c r="C23" s="8">
        <v>6</v>
      </c>
      <c r="D23" s="8">
        <f>PRODUCT(A23,C23)</f>
        <v>6</v>
      </c>
    </row>
    <row r="24" spans="1:4">
      <c r="A24" s="6">
        <v>2</v>
      </c>
      <c r="B24" s="7" t="s">
        <v>36</v>
      </c>
      <c r="C24" s="8">
        <v>5</v>
      </c>
      <c r="D24" s="8">
        <f>PRODUCT(A24,C24)</f>
        <v>10</v>
      </c>
    </row>
    <row r="25" spans="1:4">
      <c r="A25" s="6">
        <v>1</v>
      </c>
      <c r="B25" s="7" t="s">
        <v>37</v>
      </c>
      <c r="C25" s="8">
        <v>74</v>
      </c>
      <c r="D25" s="8">
        <v>74</v>
      </c>
    </row>
    <row r="26" spans="3:4">
      <c r="C26" s="8"/>
      <c r="D26" s="8"/>
    </row>
    <row r="27" spans="3:4">
      <c r="C27" s="8"/>
      <c r="D27" s="8"/>
    </row>
    <row r="28" spans="3:4">
      <c r="C28" s="10" t="s">
        <v>7</v>
      </c>
      <c r="D28" s="10">
        <v>1791</v>
      </c>
    </row>
    <row r="29" spans="3:4">
      <c r="C29" s="8"/>
      <c r="D29" s="8"/>
    </row>
    <row r="30" spans="3:4">
      <c r="C30" s="8"/>
      <c r="D30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A1" sqref="A1:D8"/>
    </sheetView>
  </sheetViews>
  <sheetFormatPr defaultColWidth="9.14285714285714" defaultRowHeight="12.75"/>
  <cols>
    <col min="1" max="1" width="10.2857142857143" customWidth="1"/>
    <col min="2" max="2" width="27.5714285714286" customWidth="1"/>
    <col min="3" max="3" width="10.2857142857143"/>
    <col min="4" max="4" width="11.8571428571429" customWidth="1"/>
    <col min="7" max="7" width="22.5714285714286" customWidth="1"/>
    <col min="8" max="8" width="10.2857142857143" customWidth="1"/>
    <col min="9" max="9" width="11.8571428571429" customWidth="1"/>
    <col min="11" max="11" width="14.1428571428571" customWidth="1"/>
    <col min="12" max="12" width="17.5714285714286" customWidth="1"/>
    <col min="13" max="13" width="9.28571428571429" customWidth="1"/>
    <col min="14" max="14" width="11.8571428571429" customWidth="1"/>
    <col min="16" max="16" width="7.71428571428571" customWidth="1"/>
    <col min="17" max="17" width="34.4285714285714" customWidth="1"/>
    <col min="18" max="18" width="10.2857142857143" customWidth="1"/>
    <col min="19" max="19" width="12.1428571428571" customWidth="1"/>
  </cols>
  <sheetData>
    <row r="1" ht="15.75" spans="1:17">
      <c r="A1" s="1" t="s">
        <v>38</v>
      </c>
      <c r="B1" s="2"/>
      <c r="F1" s="1" t="s">
        <v>39</v>
      </c>
      <c r="G1" s="2"/>
      <c r="K1" s="1" t="s">
        <v>40</v>
      </c>
      <c r="L1" s="2"/>
      <c r="P1" s="1" t="s">
        <v>41</v>
      </c>
      <c r="Q1" s="2"/>
    </row>
    <row r="2" spans="1:19">
      <c r="A2" s="3" t="s">
        <v>4</v>
      </c>
      <c r="B2" s="4" t="s">
        <v>5</v>
      </c>
      <c r="C2" s="5"/>
      <c r="D2" s="5" t="s">
        <v>7</v>
      </c>
      <c r="F2" s="3" t="s">
        <v>4</v>
      </c>
      <c r="G2" s="4" t="s">
        <v>5</v>
      </c>
      <c r="H2" s="5" t="s">
        <v>6</v>
      </c>
      <c r="I2" s="5" t="s">
        <v>7</v>
      </c>
      <c r="K2" s="3" t="s">
        <v>4</v>
      </c>
      <c r="L2" s="4" t="s">
        <v>5</v>
      </c>
      <c r="M2" s="5" t="s">
        <v>6</v>
      </c>
      <c r="N2" s="5" t="s">
        <v>7</v>
      </c>
      <c r="P2" s="3" t="s">
        <v>4</v>
      </c>
      <c r="Q2" s="4" t="s">
        <v>5</v>
      </c>
      <c r="R2" s="5" t="s">
        <v>6</v>
      </c>
      <c r="S2" s="5" t="s">
        <v>7</v>
      </c>
    </row>
    <row r="3" spans="1:19">
      <c r="A3" s="6"/>
      <c r="B3" s="7" t="s">
        <v>42</v>
      </c>
      <c r="C3" s="8"/>
      <c r="D3" s="8">
        <v>150</v>
      </c>
      <c r="F3" s="6">
        <v>2</v>
      </c>
      <c r="G3" s="7" t="s">
        <v>43</v>
      </c>
      <c r="H3" s="8">
        <v>12</v>
      </c>
      <c r="I3" s="8">
        <f>PRODUCT(F3,H3)</f>
        <v>24</v>
      </c>
      <c r="K3" s="6">
        <v>77</v>
      </c>
      <c r="L3" s="7" t="s">
        <v>44</v>
      </c>
      <c r="M3" s="8">
        <v>35</v>
      </c>
      <c r="N3" s="8">
        <f t="shared" ref="N3:N6" si="0">PRODUCT(K3,M3)</f>
        <v>2695</v>
      </c>
      <c r="P3" s="6"/>
      <c r="Q3" s="7" t="s">
        <v>45</v>
      </c>
      <c r="R3" s="8"/>
      <c r="S3" s="8">
        <v>304</v>
      </c>
    </row>
    <row r="4" spans="1:19">
      <c r="A4" s="6">
        <v>2</v>
      </c>
      <c r="B4" s="7" t="s">
        <v>46</v>
      </c>
      <c r="C4" s="8">
        <v>600</v>
      </c>
      <c r="D4" s="8">
        <f>PRODUCT(A4,C4)</f>
        <v>1200</v>
      </c>
      <c r="F4" s="6">
        <v>5.5</v>
      </c>
      <c r="G4" s="7" t="s">
        <v>20</v>
      </c>
      <c r="H4" s="8">
        <v>79</v>
      </c>
      <c r="I4" s="8">
        <f t="shared" ref="I3:I6" si="1">PRODUCT(F4,H4)</f>
        <v>434.5</v>
      </c>
      <c r="K4" s="6">
        <v>77</v>
      </c>
      <c r="L4" s="7" t="s">
        <v>47</v>
      </c>
      <c r="M4" s="8">
        <v>35</v>
      </c>
      <c r="N4" s="8">
        <f t="shared" si="0"/>
        <v>2695</v>
      </c>
      <c r="P4" s="6"/>
      <c r="Q4" s="7" t="s">
        <v>48</v>
      </c>
      <c r="R4" s="8"/>
      <c r="S4" s="8">
        <v>21.9</v>
      </c>
    </row>
    <row r="5" spans="1:19">
      <c r="A5" s="6">
        <v>2</v>
      </c>
      <c r="B5" s="7" t="s">
        <v>49</v>
      </c>
      <c r="C5" s="8">
        <v>450</v>
      </c>
      <c r="D5" s="8">
        <f>PRODUCT(A5,C5)</f>
        <v>900</v>
      </c>
      <c r="F5" s="6">
        <v>1</v>
      </c>
      <c r="G5" s="12">
        <v>0.1</v>
      </c>
      <c r="H5" s="8">
        <v>45.85</v>
      </c>
      <c r="I5" s="8">
        <f t="shared" si="1"/>
        <v>45.85</v>
      </c>
      <c r="K5" s="6">
        <v>1</v>
      </c>
      <c r="L5" s="7" t="s">
        <v>50</v>
      </c>
      <c r="M5" s="8">
        <v>200</v>
      </c>
      <c r="N5" s="8">
        <f t="shared" si="0"/>
        <v>200</v>
      </c>
      <c r="P5" s="6"/>
      <c r="Q5" s="7" t="s">
        <v>51</v>
      </c>
      <c r="R5" s="8"/>
      <c r="S5" s="8">
        <v>98.1</v>
      </c>
    </row>
    <row r="6" spans="1:19">
      <c r="A6" s="11">
        <v>2</v>
      </c>
      <c r="B6" t="s">
        <v>52</v>
      </c>
      <c r="C6" s="8">
        <v>300</v>
      </c>
      <c r="D6" s="8">
        <f>PRODUCT(C6,A6)</f>
        <v>600</v>
      </c>
      <c r="F6" s="6">
        <v>1</v>
      </c>
      <c r="G6" s="7" t="s">
        <v>53</v>
      </c>
      <c r="H6" s="8">
        <v>95</v>
      </c>
      <c r="I6" s="8">
        <v>95</v>
      </c>
      <c r="K6" s="6">
        <v>20</v>
      </c>
      <c r="L6" s="7" t="s">
        <v>54</v>
      </c>
      <c r="M6" s="8">
        <v>50</v>
      </c>
      <c r="N6" s="8">
        <v>1000</v>
      </c>
      <c r="P6" s="6"/>
      <c r="Q6" s="7" t="s">
        <v>55</v>
      </c>
      <c r="R6" s="8"/>
      <c r="S6" s="8">
        <v>16.5</v>
      </c>
    </row>
    <row r="7" spans="6:19">
      <c r="F7" s="6">
        <v>1</v>
      </c>
      <c r="G7" s="7" t="s">
        <v>56</v>
      </c>
      <c r="H7" s="8">
        <v>12</v>
      </c>
      <c r="I7" s="8">
        <v>12</v>
      </c>
      <c r="K7" s="6">
        <v>5</v>
      </c>
      <c r="L7" t="s">
        <v>57</v>
      </c>
      <c r="M7" s="8">
        <v>12</v>
      </c>
      <c r="N7" s="8">
        <v>60</v>
      </c>
      <c r="P7" s="6"/>
      <c r="Q7" t="s">
        <v>58</v>
      </c>
      <c r="R7" s="8"/>
      <c r="S7" s="8">
        <v>50</v>
      </c>
    </row>
    <row r="8" spans="3:19">
      <c r="C8" s="9" t="s">
        <v>7</v>
      </c>
      <c r="D8" s="10">
        <v>2850</v>
      </c>
      <c r="F8" s="6">
        <v>2</v>
      </c>
      <c r="G8" s="7" t="s">
        <v>20</v>
      </c>
      <c r="H8" s="8">
        <v>79</v>
      </c>
      <c r="I8" s="8">
        <v>158</v>
      </c>
      <c r="L8" t="s">
        <v>59</v>
      </c>
      <c r="N8" s="8">
        <v>-1500</v>
      </c>
      <c r="Q8" t="s">
        <v>60</v>
      </c>
      <c r="S8" s="8">
        <v>8</v>
      </c>
    </row>
    <row r="9" spans="6:19">
      <c r="F9" s="6">
        <v>1</v>
      </c>
      <c r="G9" s="12">
        <v>0.1</v>
      </c>
      <c r="H9" s="8"/>
      <c r="I9" s="8">
        <v>26.5</v>
      </c>
      <c r="Q9" t="s">
        <v>61</v>
      </c>
      <c r="S9" s="8">
        <v>10.5</v>
      </c>
    </row>
    <row r="10" spans="6:19">
      <c r="F10" s="6">
        <v>2</v>
      </c>
      <c r="G10" s="7" t="s">
        <v>62</v>
      </c>
      <c r="H10" s="8">
        <v>4</v>
      </c>
      <c r="I10" s="8">
        <v>8</v>
      </c>
      <c r="Q10" t="s">
        <v>63</v>
      </c>
      <c r="S10" s="8">
        <v>31</v>
      </c>
    </row>
    <row r="11" spans="6:19">
      <c r="F11" s="6">
        <v>2</v>
      </c>
      <c r="G11" s="7" t="s">
        <v>64</v>
      </c>
      <c r="H11" s="8">
        <v>19</v>
      </c>
      <c r="I11" s="8">
        <f>PRODUCT(H11,F11)</f>
        <v>38</v>
      </c>
      <c r="M11" s="9" t="s">
        <v>7</v>
      </c>
      <c r="N11" s="10">
        <v>5150</v>
      </c>
      <c r="Q11" t="s">
        <v>65</v>
      </c>
      <c r="S11" s="8">
        <v>18.5</v>
      </c>
    </row>
    <row r="12" spans="6:19">
      <c r="F12" s="6">
        <v>1</v>
      </c>
      <c r="G12" s="7" t="s">
        <v>66</v>
      </c>
      <c r="H12" s="8">
        <v>160</v>
      </c>
      <c r="I12" s="8">
        <v>160</v>
      </c>
      <c r="Q12" t="s">
        <v>67</v>
      </c>
      <c r="S12" s="8">
        <v>16.5</v>
      </c>
    </row>
    <row r="13" spans="6:19">
      <c r="F13" s="6">
        <v>1</v>
      </c>
      <c r="G13" s="7" t="s">
        <v>68</v>
      </c>
      <c r="H13" s="8">
        <v>170</v>
      </c>
      <c r="I13" s="8">
        <v>170</v>
      </c>
      <c r="Q13" t="s">
        <v>69</v>
      </c>
      <c r="S13" s="8">
        <v>25</v>
      </c>
    </row>
    <row r="14" spans="6:19">
      <c r="F14" s="6">
        <v>1</v>
      </c>
      <c r="G14" s="12">
        <v>0.1</v>
      </c>
      <c r="H14" s="8"/>
      <c r="I14" s="8">
        <v>37.6</v>
      </c>
      <c r="Q14" t="s">
        <v>70</v>
      </c>
      <c r="S14" s="8">
        <v>39</v>
      </c>
    </row>
    <row r="15" spans="6:19">
      <c r="F15" s="6"/>
      <c r="G15" s="7"/>
      <c r="H15" s="8"/>
      <c r="I15" s="8"/>
      <c r="Q15" t="s">
        <v>71</v>
      </c>
      <c r="S15" s="8">
        <v>183</v>
      </c>
    </row>
    <row r="16" spans="6:19">
      <c r="F16" s="6"/>
      <c r="G16" s="7"/>
      <c r="H16" s="10" t="s">
        <v>7</v>
      </c>
      <c r="I16" s="10">
        <v>1209.45</v>
      </c>
      <c r="Q16" t="s">
        <v>72</v>
      </c>
      <c r="S16" s="8">
        <v>9</v>
      </c>
    </row>
    <row r="17" spans="6:19">
      <c r="F17" s="6"/>
      <c r="G17" s="7"/>
      <c r="H17" s="8"/>
      <c r="I17" s="8"/>
      <c r="Q17" t="s">
        <v>73</v>
      </c>
      <c r="S17" s="8">
        <v>14</v>
      </c>
    </row>
    <row r="18" spans="6:19">
      <c r="F18" s="6"/>
      <c r="G18" s="7"/>
      <c r="H18" s="8"/>
      <c r="I18" s="8"/>
      <c r="Q18" t="s">
        <v>74</v>
      </c>
      <c r="S18" s="8">
        <v>22.6</v>
      </c>
    </row>
    <row r="19" spans="6:19">
      <c r="F19" s="6"/>
      <c r="G19" s="7"/>
      <c r="H19" s="8"/>
      <c r="I19" s="8"/>
      <c r="Q19" t="s">
        <v>74</v>
      </c>
      <c r="R19" s="8"/>
      <c r="S19" s="8">
        <v>76.2</v>
      </c>
    </row>
    <row r="20" spans="6:19">
      <c r="F20" s="6"/>
      <c r="G20" s="7"/>
      <c r="H20" s="10"/>
      <c r="I20" s="10"/>
      <c r="P20" s="11">
        <v>34</v>
      </c>
      <c r="Q20" t="s">
        <v>75</v>
      </c>
      <c r="R20" s="8"/>
      <c r="S20" s="8">
        <v>175</v>
      </c>
    </row>
    <row r="21" spans="6:19">
      <c r="F21" s="6"/>
      <c r="G21" s="7"/>
      <c r="H21" s="8"/>
      <c r="I21" s="8"/>
      <c r="P21" s="11">
        <v>2</v>
      </c>
      <c r="Q21" t="s">
        <v>76</v>
      </c>
      <c r="R21" s="8">
        <v>6</v>
      </c>
      <c r="S21" s="8">
        <v>12</v>
      </c>
    </row>
    <row r="22" spans="6:19">
      <c r="F22" s="6"/>
      <c r="G22" s="7"/>
      <c r="H22" s="8"/>
      <c r="I22" s="8"/>
      <c r="P22" s="11">
        <v>20</v>
      </c>
      <c r="Q22" t="s">
        <v>77</v>
      </c>
      <c r="R22" s="8">
        <v>1.25</v>
      </c>
      <c r="S22" s="8">
        <v>16</v>
      </c>
    </row>
    <row r="23" spans="6:19">
      <c r="F23" s="6"/>
      <c r="G23" s="7"/>
      <c r="H23" s="8"/>
      <c r="I23" s="8"/>
      <c r="Q23" t="s">
        <v>45</v>
      </c>
      <c r="R23" s="8"/>
      <c r="S23" s="8">
        <v>15</v>
      </c>
    </row>
    <row r="24" spans="6:19">
      <c r="F24" s="6"/>
      <c r="G24" s="7"/>
      <c r="H24" s="8"/>
      <c r="I24" s="8"/>
      <c r="P24" s="11">
        <v>17</v>
      </c>
      <c r="Q24" t="s">
        <v>77</v>
      </c>
      <c r="R24" s="8"/>
      <c r="S24" s="8">
        <v>22</v>
      </c>
    </row>
    <row r="25" spans="17:19">
      <c r="Q25" t="s">
        <v>75</v>
      </c>
      <c r="R25" s="8"/>
      <c r="S25" s="8">
        <v>10</v>
      </c>
    </row>
    <row r="26" spans="17:19">
      <c r="Q26" t="s">
        <v>78</v>
      </c>
      <c r="R26" s="8"/>
      <c r="S26" s="8">
        <v>10.5</v>
      </c>
    </row>
    <row r="27" spans="16:19">
      <c r="P27">
        <v>10</v>
      </c>
      <c r="Q27" t="s">
        <v>79</v>
      </c>
      <c r="R27" s="8"/>
      <c r="S27" s="8">
        <v>20</v>
      </c>
    </row>
    <row r="28" spans="17:19">
      <c r="Q28" t="s">
        <v>80</v>
      </c>
      <c r="R28" s="8"/>
      <c r="S28" s="8">
        <v>12</v>
      </c>
    </row>
    <row r="29" spans="17:19">
      <c r="Q29" t="s">
        <v>74</v>
      </c>
      <c r="R29" s="8"/>
      <c r="S29" s="8">
        <v>29.9</v>
      </c>
    </row>
    <row r="30" spans="17:19">
      <c r="Q30" t="s">
        <v>80</v>
      </c>
      <c r="R30" s="8"/>
      <c r="S30" s="8">
        <v>20</v>
      </c>
    </row>
    <row r="31" spans="17:19">
      <c r="Q31" t="s">
        <v>81</v>
      </c>
      <c r="R31" s="8"/>
      <c r="S31" s="8">
        <v>34</v>
      </c>
    </row>
    <row r="32" spans="17:19">
      <c r="Q32" t="s">
        <v>82</v>
      </c>
      <c r="S32" s="8">
        <v>42</v>
      </c>
    </row>
    <row r="34" spans="18:19">
      <c r="R34" s="9" t="s">
        <v>7</v>
      </c>
      <c r="S34" s="13">
        <v>1362.2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5" sqref="A1:D5"/>
    </sheetView>
  </sheetViews>
  <sheetFormatPr defaultColWidth="9.14285714285714" defaultRowHeight="12.75" outlineLevelRow="7" outlineLevelCol="3"/>
  <cols>
    <col min="1" max="1" width="10.8571428571429" customWidth="1"/>
    <col min="2" max="2" width="27.5714285714286" customWidth="1"/>
    <col min="3" max="3" width="10.2857142857143" customWidth="1"/>
    <col min="4" max="4" width="11.8571428571429" customWidth="1"/>
  </cols>
  <sheetData>
    <row r="1" ht="15.75" spans="1:2">
      <c r="A1" s="1" t="s">
        <v>83</v>
      </c>
      <c r="B1" s="2"/>
    </row>
    <row r="2" spans="1:4">
      <c r="A2" s="3" t="s">
        <v>4</v>
      </c>
      <c r="B2" s="4" t="s">
        <v>5</v>
      </c>
      <c r="C2" s="5"/>
      <c r="D2" s="5" t="s">
        <v>7</v>
      </c>
    </row>
    <row r="3" spans="1:4">
      <c r="A3" s="6">
        <v>3</v>
      </c>
      <c r="B3" s="7" t="s">
        <v>84</v>
      </c>
      <c r="C3" s="8">
        <v>800</v>
      </c>
      <c r="D3" s="8">
        <f>PRODUCT(C3,A3)</f>
        <v>2400</v>
      </c>
    </row>
    <row r="4" spans="1:4">
      <c r="A4" s="6"/>
      <c r="B4" s="7"/>
      <c r="C4" s="8"/>
      <c r="D4" s="8"/>
    </row>
    <row r="5" spans="1:4">
      <c r="A5" s="6"/>
      <c r="B5" s="7"/>
      <c r="C5" s="9" t="s">
        <v>7</v>
      </c>
      <c r="D5" s="10">
        <v>2400</v>
      </c>
    </row>
    <row r="6" spans="1:4">
      <c r="A6" s="11"/>
      <c r="B6"/>
      <c r="C6" s="8"/>
      <c r="D6" s="8"/>
    </row>
    <row r="8" spans="3:4">
      <c r="C8" s="9" t="s">
        <v>7</v>
      </c>
      <c r="D8" s="10">
        <v>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lanha</dc:creator>
  <cp:lastModifiedBy>lanha</cp:lastModifiedBy>
  <dcterms:created xsi:type="dcterms:W3CDTF">2024-07-09T12:54:00Z</dcterms:created>
  <dcterms:modified xsi:type="dcterms:W3CDTF">2024-07-10T13:54:31Z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FA4F20D094C2419D8ACE55A08F167E21_11</vt:lpwstr>
  </property>
  <property fmtid="{D5CDD505-2E9C-101B-9397-08002B2CF9AE}" pid="3" name="KSOProductBuildVer">
    <vt:lpwstr>1046-12.2.0.17119</vt:lpwstr>
  </property>
</Properties>
</file>